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dd5123b3ed5494/Pulpit/Nauka EXcela/moje/"/>
    </mc:Choice>
  </mc:AlternateContent>
  <xr:revisionPtr revIDLastSave="585" documentId="8_{395D7A26-E0D0-4E0D-AFD7-10656BEB4077}" xr6:coauthVersionLast="47" xr6:coauthVersionMax="47" xr10:uidLastSave="{9D192DC4-B987-4345-A89A-49484A531E45}"/>
  <bookViews>
    <workbookView xWindow="-108" yWindow="-108" windowWidth="23256" windowHeight="12456" xr2:uid="{E63D65AE-FA08-4146-8079-015BB00C16CA}"/>
  </bookViews>
  <sheets>
    <sheet name="Sewery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4" i="1"/>
</calcChain>
</file>

<file path=xl/sharedStrings.xml><?xml version="1.0" encoding="utf-8"?>
<sst xmlns="http://schemas.openxmlformats.org/spreadsheetml/2006/main" count="41" uniqueCount="38">
  <si>
    <t>Temat:</t>
  </si>
  <si>
    <t>Czytanie</t>
  </si>
  <si>
    <t>Słuchanie</t>
  </si>
  <si>
    <t>Mówienie</t>
  </si>
  <si>
    <t xml:space="preserve">Pisanie </t>
  </si>
  <si>
    <t xml:space="preserve">Słownictwo </t>
  </si>
  <si>
    <t xml:space="preserve">Gramatyka </t>
  </si>
  <si>
    <t xml:space="preserve">Pomiary </t>
  </si>
  <si>
    <t xml:space="preserve">Rysunki </t>
  </si>
  <si>
    <t xml:space="preserve">Emaile formalne i nieformalne </t>
  </si>
  <si>
    <t xml:space="preserve">Czynności budowlane </t>
  </si>
  <si>
    <t xml:space="preserve">Tworzenie zapytań </t>
  </si>
  <si>
    <t xml:space="preserve">Zawody budowlane </t>
  </si>
  <si>
    <t xml:space="preserve">Prośby o wykonanie działań </t>
  </si>
  <si>
    <t xml:space="preserve">Materiały budowlane </t>
  </si>
  <si>
    <t xml:space="preserve">Wymiana informacji </t>
  </si>
  <si>
    <t xml:space="preserve">Narzędzia ręczne i elektryczne </t>
  </si>
  <si>
    <t xml:space="preserve">Ustalanie teminów spotkań </t>
  </si>
  <si>
    <t xml:space="preserve">Maszyny budowlane </t>
  </si>
  <si>
    <t xml:space="preserve">Profesjonalna komunikacja w firmie </t>
  </si>
  <si>
    <t>Korespondencja z dostawcami i klientami</t>
  </si>
  <si>
    <t xml:space="preserve">Fundamentowanie i ściany </t>
  </si>
  <si>
    <t xml:space="preserve">Raporty </t>
  </si>
  <si>
    <t xml:space="preserve">Sciany i stropy </t>
  </si>
  <si>
    <t xml:space="preserve">Rodzaje budynków i prace ziemne </t>
  </si>
  <si>
    <t xml:space="preserve">Negocjowanie w emailu </t>
  </si>
  <si>
    <t xml:space="preserve">Wymagany poziom 4 </t>
  </si>
  <si>
    <t xml:space="preserve">0- poziom spełniony </t>
  </si>
  <si>
    <t xml:space="preserve">0&gt;luka , -1 poziom spełniony </t>
  </si>
  <si>
    <t>Srednia</t>
  </si>
  <si>
    <t xml:space="preserve">Luka </t>
  </si>
  <si>
    <t>Kolumna1</t>
  </si>
  <si>
    <t xml:space="preserve">Czytanie </t>
  </si>
  <si>
    <t xml:space="preserve">Słuchanie </t>
  </si>
  <si>
    <t xml:space="preserve">Mówienie </t>
  </si>
  <si>
    <t xml:space="preserve">Średnia </t>
  </si>
  <si>
    <t>Test półroczny</t>
  </si>
  <si>
    <t>Seweryn - kurs budownictwo. Seweryn jest inżynierem budownictwa, pracuje w firme budowlanej.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</si>
</sst>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textRotation="90"/>
    </xf>
    <xf numFmtId="2" fontId="0" fillId="0" borderId="0" xfId="0" applyNumberFormat="1"/>
    <xf numFmtId="0" fontId="0" fillId="2" borderId="0" xfId="0" applyFill="1" applyAlignment="1">
      <alignment horizontal="center" wrapText="1"/>
    </xf>
  </cellXfs>
  <cellStyles count="1">
    <cellStyle name="Normalny" xfId="0" builtinId="0"/>
  </cellStyles>
  <dxfs count="10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numFmt numFmtId="2" formatCode="0.00"/>
    </dxf>
    <dxf>
      <alignment horizontal="general" vertical="bottom" textRotation="0" wrapText="1" indent="0" justifyLastLine="0" shrinkToFit="0" readingOrder="0"/>
    </dxf>
    <dxf>
      <alignment horizontal="general" vertical="bottom" textRotation="9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Matryca</a:t>
            </a:r>
            <a:r>
              <a:rPr lang="pl-PL" baseline="0"/>
              <a:t> kompetencji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Seweryn!$A$4:$A$22</c:f>
              <c:strCache>
                <c:ptCount val="19"/>
                <c:pt idx="0">
                  <c:v>Pomiary </c:v>
                </c:pt>
                <c:pt idx="1">
                  <c:v>Rysunki </c:v>
                </c:pt>
                <c:pt idx="2">
                  <c:v>Emaile formalne i nieformalne </c:v>
                </c:pt>
                <c:pt idx="3">
                  <c:v>Czynności budowlane </c:v>
                </c:pt>
                <c:pt idx="4">
                  <c:v>Tworzenie zapytań </c:v>
                </c:pt>
                <c:pt idx="5">
                  <c:v>Zawody budowlane </c:v>
                </c:pt>
                <c:pt idx="6">
                  <c:v>Prośby o wykonanie działań </c:v>
                </c:pt>
                <c:pt idx="7">
                  <c:v>Materiały budowlane </c:v>
                </c:pt>
                <c:pt idx="8">
                  <c:v>Wymiana informacji </c:v>
                </c:pt>
                <c:pt idx="9">
                  <c:v>Narzędzia ręczne i elektryczne </c:v>
                </c:pt>
                <c:pt idx="10">
                  <c:v>Ustalanie teminów spotkań </c:v>
                </c:pt>
                <c:pt idx="11">
                  <c:v>Maszyny budowlane </c:v>
                </c:pt>
                <c:pt idx="12">
                  <c:v>Profesjonalna komunikacja w firmie </c:v>
                </c:pt>
                <c:pt idx="13">
                  <c:v>Rodzaje budynków i prace ziemne </c:v>
                </c:pt>
                <c:pt idx="14">
                  <c:v>Korespondencja z dostawcami i klientami</c:v>
                </c:pt>
                <c:pt idx="15">
                  <c:v>Fundamentowanie i ściany </c:v>
                </c:pt>
                <c:pt idx="16">
                  <c:v>Raporty </c:v>
                </c:pt>
                <c:pt idx="17">
                  <c:v>Sciany i stropy </c:v>
                </c:pt>
                <c:pt idx="18">
                  <c:v>Negocjowanie w emailu </c:v>
                </c:pt>
              </c:strCache>
            </c:strRef>
          </c:cat>
          <c:val>
            <c:numRef>
              <c:f>Seweryn!$J$4:$J$22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AC-4511-9E03-8964F5E03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5543967"/>
        <c:axId val="1655545407"/>
      </c:lineChart>
      <c:catAx>
        <c:axId val="165554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55545407"/>
        <c:crosses val="autoZero"/>
        <c:auto val="1"/>
        <c:lblAlgn val="ctr"/>
        <c:lblOffset val="100"/>
        <c:noMultiLvlLbl val="0"/>
      </c:catAx>
      <c:valAx>
        <c:axId val="165554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55543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Temat</a:t>
            </a:r>
            <a:r>
              <a:rPr lang="pl-PL" baseline="0"/>
              <a:t> 1  Pomiary</a:t>
            </a:r>
            <a:endParaRPr lang="pl-PL"/>
          </a:p>
        </c:rich>
      </c:tx>
      <c:layout>
        <c:manualLayout>
          <c:xMode val="edge"/>
          <c:yMode val="edge"/>
          <c:x val="0.5912941946815341"/>
          <c:y val="2.15919134033927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4.8270275515377284E-2"/>
          <c:y val="2.1490041966504433E-2"/>
          <c:w val="0.7719925610472862"/>
          <c:h val="0.72887610977712958"/>
        </c:manualLayout>
      </c:layout>
      <c:barChart>
        <c:barDir val="col"/>
        <c:grouping val="clustered"/>
        <c:varyColors val="0"/>
        <c:ser>
          <c:idx val="0"/>
          <c:order val="0"/>
          <c:tx>
            <c:v>Czytanie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Seweryn!$A$4</c:f>
              <c:strCache>
                <c:ptCount val="1"/>
                <c:pt idx="0">
                  <c:v>Pomiary </c:v>
                </c:pt>
              </c:strCache>
            </c:strRef>
          </c:cat>
          <c:val>
            <c:numRef>
              <c:f>Seweryn!$B$4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A-4B68-9EA7-61D9364EBDEF}"/>
            </c:ext>
          </c:extLst>
        </c:ser>
        <c:ser>
          <c:idx val="1"/>
          <c:order val="1"/>
          <c:tx>
            <c:v>Słuchanie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Seweryn!$A$4</c:f>
              <c:strCache>
                <c:ptCount val="1"/>
                <c:pt idx="0">
                  <c:v>Pomiary </c:v>
                </c:pt>
              </c:strCache>
            </c:strRef>
          </c:cat>
          <c:val>
            <c:numRef>
              <c:f>Seweryn!$C$4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3A-4B68-9EA7-61D9364EBDEF}"/>
            </c:ext>
          </c:extLst>
        </c:ser>
        <c:ser>
          <c:idx val="2"/>
          <c:order val="2"/>
          <c:tx>
            <c:v>Mówienie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Seweryn!$A$4</c:f>
              <c:strCache>
                <c:ptCount val="1"/>
                <c:pt idx="0">
                  <c:v>Pomiary </c:v>
                </c:pt>
              </c:strCache>
            </c:strRef>
          </c:cat>
          <c:val>
            <c:numRef>
              <c:f>Seweryn!$D$4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23A-4B68-9EA7-61D9364EBDEF}"/>
            </c:ext>
          </c:extLst>
        </c:ser>
        <c:ser>
          <c:idx val="3"/>
          <c:order val="3"/>
          <c:tx>
            <c:v>Pisanie 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Seweryn!$A$4</c:f>
              <c:strCache>
                <c:ptCount val="1"/>
                <c:pt idx="0">
                  <c:v>Pomiary </c:v>
                </c:pt>
              </c:strCache>
            </c:strRef>
          </c:cat>
          <c:val>
            <c:numRef>
              <c:f>Seweryn!$E$4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23A-4B68-9EA7-61D9364EBDEF}"/>
            </c:ext>
          </c:extLst>
        </c:ser>
        <c:ser>
          <c:idx val="4"/>
          <c:order val="4"/>
          <c:tx>
            <c:v>Słownictwo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Seweryn!$A$4</c:f>
              <c:strCache>
                <c:ptCount val="1"/>
                <c:pt idx="0">
                  <c:v>Pomiary </c:v>
                </c:pt>
              </c:strCache>
            </c:strRef>
          </c:cat>
          <c:val>
            <c:numRef>
              <c:f>Seweryn!$F$4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23A-4B68-9EA7-61D9364EBDEF}"/>
            </c:ext>
          </c:extLst>
        </c:ser>
        <c:ser>
          <c:idx val="5"/>
          <c:order val="5"/>
          <c:tx>
            <c:v>Gramatyka 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Seweryn!$A$4</c:f>
              <c:strCache>
                <c:ptCount val="1"/>
                <c:pt idx="0">
                  <c:v>Pomiary </c:v>
                </c:pt>
              </c:strCache>
            </c:strRef>
          </c:cat>
          <c:val>
            <c:numRef>
              <c:f>Seweryn!$G$4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23A-4B68-9EA7-61D9364EBD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5021311"/>
        <c:axId val="1145021791"/>
      </c:barChart>
      <c:catAx>
        <c:axId val="114502131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Sprawności</a:t>
                </a:r>
                <a:r>
                  <a:rPr lang="pl-PL" baseline="0"/>
                  <a:t> 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crossAx val="1145021791"/>
        <c:crosses val="autoZero"/>
        <c:auto val="1"/>
        <c:lblAlgn val="ctr"/>
        <c:lblOffset val="100"/>
        <c:noMultiLvlLbl val="0"/>
      </c:catAx>
      <c:valAx>
        <c:axId val="114502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502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2466746439598715"/>
          <c:y val="5.5555555555555552E-2"/>
          <c:w val="0.15866586893734619"/>
          <c:h val="0.630790317876932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205740</xdr:colOff>
      <xdr:row>6</xdr:row>
      <xdr:rowOff>72390</xdr:rowOff>
    </xdr:from>
    <xdr:to>
      <xdr:col>24</xdr:col>
      <xdr:colOff>228600</xdr:colOff>
      <xdr:row>19</xdr:row>
      <xdr:rowOff>72390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FDB1B9B4-CA69-912F-1F4C-27EF52453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131124</xdr:colOff>
      <xdr:row>7</xdr:row>
      <xdr:rowOff>92874</xdr:rowOff>
    </xdr:from>
    <xdr:to>
      <xdr:col>44</xdr:col>
      <xdr:colOff>98960</xdr:colOff>
      <xdr:row>23</xdr:row>
      <xdr:rowOff>395843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3F57685A-0753-27CA-A3CD-AA572BC21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1121B2-8970-4D3D-B6BA-9C12C2C97A02}" name="Tabela1" displayName="Tabela1" ref="A3:G22" totalsRowShown="0" headerRowDxfId="9">
  <autoFilter ref="A3:G22" xr:uid="{C41121B2-8970-4D3D-B6BA-9C12C2C97A02}"/>
  <tableColumns count="7">
    <tableColumn id="1" xr3:uid="{DCB9EAB3-FCF9-4058-A483-17464C6AAFAC}" name="Temat:" dataDxfId="8"/>
    <tableColumn id="2" xr3:uid="{CEB7C224-8300-464B-90D2-D64FFDE2A24B}" name="Czytanie"/>
    <tableColumn id="3" xr3:uid="{EF644C87-CC4B-49DB-B094-FEC20F637C1C}" name="Słuchanie"/>
    <tableColumn id="4" xr3:uid="{66DFE0E6-1E33-4581-86A4-F9E14B62CD34}" name="Mówienie"/>
    <tableColumn id="5" xr3:uid="{DD0DCF7E-BF90-45C8-AA8E-69665EFA0C71}" name="Pisanie "/>
    <tableColumn id="6" xr3:uid="{0D8DBC15-5B98-45AD-8498-1BF0E27E4005}" name="Słownictwo "/>
    <tableColumn id="7" xr3:uid="{9EDDD03A-11BD-4662-ADEA-AD6A5CE74434}" name="Gramatyka 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D72CE2-2E91-43FC-8250-927A1871DFF8}" name="Tabela2" displayName="Tabela2" ref="A24:H25" totalsRowShown="0">
  <autoFilter ref="A24:H25" xr:uid="{72D72CE2-2E91-43FC-8250-927A1871DFF8}"/>
  <tableColumns count="8">
    <tableColumn id="1" xr3:uid="{D9106774-9358-4539-94F4-7D8F369EDEB8}" name="Kolumna1"/>
    <tableColumn id="2" xr3:uid="{7F76AD9D-3E32-4360-BA70-0B50757D7FB0}" name="Czytanie "/>
    <tableColumn id="3" xr3:uid="{D33AC686-F895-460A-AD35-639BE563AB44}" name="Słuchanie "/>
    <tableColumn id="4" xr3:uid="{9F71EAF1-B03A-4E1E-A262-655F0BB0212E}" name="Mówienie "/>
    <tableColumn id="5" xr3:uid="{C487D1EE-5977-4B1E-A936-6A6A29C3EF55}" name="Pisanie "/>
    <tableColumn id="6" xr3:uid="{B8B491E5-8BCE-43BC-B7CE-B074B0729C72}" name="Słownictwo "/>
    <tableColumn id="7" xr3:uid="{296B4532-D8E2-4E1C-B806-1E34464D18CE}" name="Gramatyka "/>
    <tableColumn id="8" xr3:uid="{E0A2A2F2-4466-4AD0-9DE6-BD5ECD10FE0E}" name="Średnia " dataDxfId="7">
      <calculatedColumnFormula>AVERAGE(B25:G25)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BBE14-D989-40FB-88AC-5D392CCE846E}">
  <dimension ref="A1:L25"/>
  <sheetViews>
    <sheetView tabSelected="1" topLeftCell="A3" zoomScale="77" zoomScaleNormal="77" workbookViewId="0">
      <selection activeCell="AM4" sqref="AM4"/>
    </sheetView>
  </sheetViews>
  <sheetFormatPr defaultColWidth="4.77734375" defaultRowHeight="14.4" x14ac:dyDescent="0.3"/>
  <cols>
    <col min="1" max="1" width="30.6640625" customWidth="1"/>
    <col min="2" max="8" width="5.77734375" customWidth="1"/>
    <col min="10" max="10" width="9" bestFit="1" customWidth="1"/>
    <col min="12" max="12" width="9" bestFit="1" customWidth="1"/>
  </cols>
  <sheetData>
    <row r="1" spans="1:12" ht="57.6" x14ac:dyDescent="0.3">
      <c r="A1" s="4" t="s">
        <v>37</v>
      </c>
    </row>
    <row r="3" spans="1:12" ht="95.4" x14ac:dyDescent="0.3">
      <c r="A3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29</v>
      </c>
      <c r="I3" s="2" t="s">
        <v>26</v>
      </c>
      <c r="J3" t="s">
        <v>30</v>
      </c>
    </row>
    <row r="4" spans="1:12" x14ac:dyDescent="0.3">
      <c r="A4" t="s">
        <v>7</v>
      </c>
      <c r="B4">
        <v>4</v>
      </c>
      <c r="C4">
        <v>4</v>
      </c>
      <c r="D4">
        <v>3</v>
      </c>
      <c r="E4">
        <v>4</v>
      </c>
      <c r="F4">
        <v>3</v>
      </c>
      <c r="G4">
        <v>2</v>
      </c>
      <c r="H4" s="3">
        <f>AVERAGE(B4:G4)</f>
        <v>3.3333333333333335</v>
      </c>
      <c r="J4">
        <f>4-MAX(B4:G4)</f>
        <v>0</v>
      </c>
      <c r="L4" t="s">
        <v>27</v>
      </c>
    </row>
    <row r="5" spans="1:12" x14ac:dyDescent="0.3">
      <c r="A5" t="s">
        <v>8</v>
      </c>
      <c r="B5">
        <v>4</v>
      </c>
      <c r="C5">
        <v>3</v>
      </c>
      <c r="D5">
        <v>3</v>
      </c>
      <c r="E5">
        <v>3</v>
      </c>
      <c r="F5">
        <v>4</v>
      </c>
      <c r="G5">
        <v>2</v>
      </c>
      <c r="H5" s="3">
        <f t="shared" ref="H5:H22" si="0">AVERAGE(B5:G5)</f>
        <v>3.1666666666666665</v>
      </c>
      <c r="J5">
        <f t="shared" ref="J5:J22" si="1">4-MAX(B5:G5)</f>
        <v>0</v>
      </c>
      <c r="L5" t="s">
        <v>28</v>
      </c>
    </row>
    <row r="6" spans="1:12" x14ac:dyDescent="0.3">
      <c r="A6" t="s">
        <v>9</v>
      </c>
      <c r="B6">
        <v>4</v>
      </c>
      <c r="C6">
        <v>4</v>
      </c>
      <c r="D6">
        <v>4</v>
      </c>
      <c r="E6">
        <v>3</v>
      </c>
      <c r="F6">
        <v>3</v>
      </c>
      <c r="G6">
        <v>3</v>
      </c>
      <c r="H6" s="3">
        <f t="shared" si="0"/>
        <v>3.5</v>
      </c>
      <c r="J6">
        <f t="shared" si="1"/>
        <v>0</v>
      </c>
    </row>
    <row r="7" spans="1:12" x14ac:dyDescent="0.3">
      <c r="A7" t="s">
        <v>10</v>
      </c>
      <c r="B7">
        <v>4</v>
      </c>
      <c r="C7">
        <v>4</v>
      </c>
      <c r="D7">
        <v>3</v>
      </c>
      <c r="E7">
        <v>3</v>
      </c>
      <c r="F7">
        <v>4</v>
      </c>
      <c r="G7">
        <v>3</v>
      </c>
      <c r="H7" s="3">
        <f t="shared" si="0"/>
        <v>3.5</v>
      </c>
      <c r="J7">
        <f t="shared" si="1"/>
        <v>0</v>
      </c>
    </row>
    <row r="8" spans="1:12" x14ac:dyDescent="0.3">
      <c r="A8" t="s">
        <v>11</v>
      </c>
      <c r="B8">
        <v>4</v>
      </c>
      <c r="C8">
        <v>4</v>
      </c>
      <c r="D8">
        <v>4</v>
      </c>
      <c r="E8">
        <v>4</v>
      </c>
      <c r="F8">
        <v>4</v>
      </c>
      <c r="G8">
        <v>3</v>
      </c>
      <c r="H8" s="3">
        <f t="shared" si="0"/>
        <v>3.8333333333333335</v>
      </c>
      <c r="J8">
        <f t="shared" si="1"/>
        <v>0</v>
      </c>
    </row>
    <row r="9" spans="1:12" x14ac:dyDescent="0.3">
      <c r="A9" t="s">
        <v>12</v>
      </c>
      <c r="B9">
        <v>4</v>
      </c>
      <c r="C9">
        <v>4</v>
      </c>
      <c r="D9">
        <v>4</v>
      </c>
      <c r="E9">
        <v>4</v>
      </c>
      <c r="F9">
        <v>4</v>
      </c>
      <c r="G9">
        <v>3</v>
      </c>
      <c r="H9" s="3">
        <f t="shared" si="0"/>
        <v>3.8333333333333335</v>
      </c>
      <c r="J9">
        <f t="shared" si="1"/>
        <v>0</v>
      </c>
    </row>
    <row r="10" spans="1:12" x14ac:dyDescent="0.3">
      <c r="A10" t="s">
        <v>13</v>
      </c>
      <c r="B10">
        <v>5</v>
      </c>
      <c r="C10">
        <v>4</v>
      </c>
      <c r="D10">
        <v>5</v>
      </c>
      <c r="E10">
        <v>4</v>
      </c>
      <c r="F10">
        <v>4</v>
      </c>
      <c r="G10">
        <v>4</v>
      </c>
      <c r="H10" s="3">
        <f t="shared" si="0"/>
        <v>4.333333333333333</v>
      </c>
      <c r="J10">
        <f t="shared" si="1"/>
        <v>-1</v>
      </c>
    </row>
    <row r="11" spans="1:12" x14ac:dyDescent="0.3">
      <c r="A11" t="s">
        <v>14</v>
      </c>
      <c r="B11">
        <v>5</v>
      </c>
      <c r="C11">
        <v>4</v>
      </c>
      <c r="D11">
        <v>5</v>
      </c>
      <c r="E11">
        <v>4</v>
      </c>
      <c r="F11">
        <v>5</v>
      </c>
      <c r="G11">
        <v>4</v>
      </c>
      <c r="H11" s="3">
        <f t="shared" si="0"/>
        <v>4.5</v>
      </c>
      <c r="J11">
        <f t="shared" si="1"/>
        <v>-1</v>
      </c>
    </row>
    <row r="12" spans="1:12" x14ac:dyDescent="0.3">
      <c r="A12" t="s">
        <v>15</v>
      </c>
      <c r="B12">
        <v>4</v>
      </c>
      <c r="C12">
        <v>4</v>
      </c>
      <c r="D12">
        <v>4</v>
      </c>
      <c r="E12">
        <v>4</v>
      </c>
      <c r="F12">
        <v>5</v>
      </c>
      <c r="G12">
        <v>4</v>
      </c>
      <c r="H12" s="3">
        <f t="shared" si="0"/>
        <v>4.166666666666667</v>
      </c>
      <c r="J12">
        <f t="shared" si="1"/>
        <v>-1</v>
      </c>
    </row>
    <row r="13" spans="1:12" x14ac:dyDescent="0.3">
      <c r="A13" t="s">
        <v>16</v>
      </c>
      <c r="B13">
        <v>5</v>
      </c>
      <c r="C13">
        <v>5</v>
      </c>
      <c r="D13">
        <v>5</v>
      </c>
      <c r="E13">
        <v>5</v>
      </c>
      <c r="F13">
        <v>5</v>
      </c>
      <c r="G13">
        <v>4</v>
      </c>
      <c r="H13" s="3">
        <f t="shared" si="0"/>
        <v>4.833333333333333</v>
      </c>
      <c r="J13">
        <f t="shared" si="1"/>
        <v>-1</v>
      </c>
    </row>
    <row r="14" spans="1:12" x14ac:dyDescent="0.3">
      <c r="A14" t="s">
        <v>17</v>
      </c>
      <c r="B14">
        <v>5</v>
      </c>
      <c r="C14">
        <v>5</v>
      </c>
      <c r="D14">
        <v>5</v>
      </c>
      <c r="E14">
        <v>5</v>
      </c>
      <c r="F14">
        <v>5</v>
      </c>
      <c r="G14">
        <v>3</v>
      </c>
      <c r="H14" s="3">
        <f t="shared" si="0"/>
        <v>4.666666666666667</v>
      </c>
      <c r="J14">
        <f t="shared" si="1"/>
        <v>-1</v>
      </c>
    </row>
    <row r="15" spans="1:12" x14ac:dyDescent="0.3">
      <c r="A15" t="s">
        <v>18</v>
      </c>
      <c r="B15">
        <v>5</v>
      </c>
      <c r="C15">
        <v>5</v>
      </c>
      <c r="D15">
        <v>5</v>
      </c>
      <c r="E15">
        <v>5</v>
      </c>
      <c r="F15">
        <v>5</v>
      </c>
      <c r="G15">
        <v>4</v>
      </c>
      <c r="H15" s="3">
        <f t="shared" si="0"/>
        <v>4.833333333333333</v>
      </c>
      <c r="J15">
        <f t="shared" si="1"/>
        <v>-1</v>
      </c>
    </row>
    <row r="16" spans="1:12" ht="28.8" x14ac:dyDescent="0.3">
      <c r="A16" s="1" t="s">
        <v>19</v>
      </c>
      <c r="B16">
        <v>5</v>
      </c>
      <c r="C16">
        <v>5</v>
      </c>
      <c r="D16">
        <v>4</v>
      </c>
      <c r="E16">
        <v>4</v>
      </c>
      <c r="F16">
        <v>4</v>
      </c>
      <c r="G16">
        <v>3</v>
      </c>
      <c r="H16" s="3">
        <f t="shared" si="0"/>
        <v>4.166666666666667</v>
      </c>
      <c r="J16">
        <f t="shared" si="1"/>
        <v>-1</v>
      </c>
    </row>
    <row r="17" spans="1:10" x14ac:dyDescent="0.3">
      <c r="A17" t="s">
        <v>24</v>
      </c>
      <c r="B17">
        <v>5</v>
      </c>
      <c r="C17">
        <v>4</v>
      </c>
      <c r="D17">
        <v>4</v>
      </c>
      <c r="E17">
        <v>3</v>
      </c>
      <c r="F17">
        <v>5</v>
      </c>
      <c r="G17">
        <v>3</v>
      </c>
      <c r="H17" s="3">
        <f t="shared" si="0"/>
        <v>4</v>
      </c>
      <c r="J17">
        <f t="shared" si="1"/>
        <v>-1</v>
      </c>
    </row>
    <row r="18" spans="1:10" ht="28.8" x14ac:dyDescent="0.3">
      <c r="A18" s="1" t="s">
        <v>20</v>
      </c>
      <c r="B18">
        <v>5</v>
      </c>
      <c r="C18">
        <v>5</v>
      </c>
      <c r="D18">
        <v>5</v>
      </c>
      <c r="E18">
        <v>5</v>
      </c>
      <c r="F18">
        <v>5</v>
      </c>
      <c r="G18">
        <v>4</v>
      </c>
      <c r="H18" s="3">
        <f t="shared" si="0"/>
        <v>4.833333333333333</v>
      </c>
      <c r="J18">
        <f t="shared" si="1"/>
        <v>-1</v>
      </c>
    </row>
    <row r="19" spans="1:10" x14ac:dyDescent="0.3">
      <c r="A19" t="s">
        <v>21</v>
      </c>
      <c r="B19">
        <v>5</v>
      </c>
      <c r="C19">
        <v>5</v>
      </c>
      <c r="D19">
        <v>5</v>
      </c>
      <c r="E19">
        <v>5</v>
      </c>
      <c r="F19">
        <v>5</v>
      </c>
      <c r="G19">
        <v>4</v>
      </c>
      <c r="H19" s="3">
        <f t="shared" si="0"/>
        <v>4.833333333333333</v>
      </c>
      <c r="J19">
        <f t="shared" si="1"/>
        <v>-1</v>
      </c>
    </row>
    <row r="20" spans="1:10" x14ac:dyDescent="0.3">
      <c r="A20" s="1" t="s">
        <v>22</v>
      </c>
      <c r="B20">
        <v>5</v>
      </c>
      <c r="C20">
        <v>5</v>
      </c>
      <c r="D20">
        <v>4</v>
      </c>
      <c r="E20">
        <v>4</v>
      </c>
      <c r="F20">
        <v>5</v>
      </c>
      <c r="G20">
        <v>3</v>
      </c>
      <c r="H20" s="3">
        <f t="shared" si="0"/>
        <v>4.333333333333333</v>
      </c>
      <c r="J20">
        <f t="shared" si="1"/>
        <v>-1</v>
      </c>
    </row>
    <row r="21" spans="1:10" x14ac:dyDescent="0.3">
      <c r="A21" t="s">
        <v>23</v>
      </c>
      <c r="B21">
        <v>5</v>
      </c>
      <c r="C21">
        <v>5</v>
      </c>
      <c r="D21">
        <v>5</v>
      </c>
      <c r="E21">
        <v>5</v>
      </c>
      <c r="F21">
        <v>5</v>
      </c>
      <c r="G21">
        <v>4</v>
      </c>
      <c r="H21" s="3">
        <f t="shared" si="0"/>
        <v>4.833333333333333</v>
      </c>
      <c r="J21">
        <f t="shared" si="1"/>
        <v>-1</v>
      </c>
    </row>
    <row r="22" spans="1:10" x14ac:dyDescent="0.3">
      <c r="A22" s="1" t="s">
        <v>25</v>
      </c>
      <c r="B22">
        <v>5</v>
      </c>
      <c r="C22">
        <v>5</v>
      </c>
      <c r="D22">
        <v>4</v>
      </c>
      <c r="E22">
        <v>4</v>
      </c>
      <c r="F22">
        <v>5</v>
      </c>
      <c r="G22">
        <v>4</v>
      </c>
      <c r="H22" s="3">
        <f t="shared" si="0"/>
        <v>4.5</v>
      </c>
      <c r="J22">
        <f t="shared" si="1"/>
        <v>-1</v>
      </c>
    </row>
    <row r="24" spans="1:10" ht="56.4" x14ac:dyDescent="0.3">
      <c r="A24" t="s">
        <v>31</v>
      </c>
      <c r="B24" s="2" t="s">
        <v>32</v>
      </c>
      <c r="C24" s="2" t="s">
        <v>33</v>
      </c>
      <c r="D24" s="2" t="s">
        <v>34</v>
      </c>
      <c r="E24" s="2" t="s">
        <v>4</v>
      </c>
      <c r="F24" s="2" t="s">
        <v>5</v>
      </c>
      <c r="G24" s="2" t="s">
        <v>6</v>
      </c>
      <c r="H24" s="2" t="s">
        <v>35</v>
      </c>
    </row>
    <row r="25" spans="1:10" x14ac:dyDescent="0.3">
      <c r="A25" t="s">
        <v>36</v>
      </c>
      <c r="B25">
        <v>5</v>
      </c>
      <c r="C25">
        <v>4</v>
      </c>
      <c r="D25">
        <v>4</v>
      </c>
      <c r="E25">
        <v>4</v>
      </c>
      <c r="F25">
        <v>5</v>
      </c>
      <c r="G25">
        <v>4</v>
      </c>
      <c r="H25" s="3">
        <f>AVERAGE(B25:G25)</f>
        <v>4.333333333333333</v>
      </c>
    </row>
  </sheetData>
  <conditionalFormatting sqref="B4:G22">
    <cfRule type="cellIs" dxfId="6" priority="1" operator="equal">
      <formula>2</formula>
    </cfRule>
    <cfRule type="cellIs" dxfId="5" priority="6" operator="equal">
      <formula>3</formula>
    </cfRule>
    <cfRule type="cellIs" dxfId="4" priority="7" operator="equal">
      <formula>5</formula>
    </cfRule>
    <cfRule type="cellIs" dxfId="3" priority="8" operator="equal">
      <formula>4</formula>
    </cfRule>
  </conditionalFormatting>
  <conditionalFormatting sqref="G4">
    <cfRule type="cellIs" dxfId="2" priority="2" operator="equal">
      <formula>2</formula>
    </cfRule>
  </conditionalFormatting>
  <conditionalFormatting sqref="J4:J22">
    <cfRule type="expression" dxfId="1" priority="3">
      <formula>J4&lt;=0</formula>
    </cfRule>
    <cfRule type="expression" priority="4">
      <formula>J4&lt;=0</formula>
    </cfRule>
    <cfRule type="expression" dxfId="0" priority="5">
      <formula>"I4&lt;=0"</formula>
    </cfRule>
  </conditionalFormatting>
  <dataValidations count="1">
    <dataValidation type="whole" allowBlank="1" showInputMessage="1" showErrorMessage="1" error="Nie można" sqref="B4:G22" xr:uid="{51FC8566-A69E-40E8-9047-142CFA7C1972}">
      <formula1>1</formula1>
      <formula2>6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Seweryn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Giebień</dc:creator>
  <cp:lastModifiedBy>Aleksandra Giebień</cp:lastModifiedBy>
  <dcterms:created xsi:type="dcterms:W3CDTF">2025-08-31T08:33:16Z</dcterms:created>
  <dcterms:modified xsi:type="dcterms:W3CDTF">2025-11-30T15:12:58Z</dcterms:modified>
</cp:coreProperties>
</file>